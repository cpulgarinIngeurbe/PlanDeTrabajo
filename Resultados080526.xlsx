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ingeurbe-my.sharepoint.com/personal/cpulgarin_construccion_com_co/Documents/1. Proyectos/1.4. Tour IA/1.4.5. Presentacion resultados/"/>
    </mc:Choice>
  </mc:AlternateContent>
  <xr:revisionPtr revIDLastSave="101" documentId="8_{DFA57357-67B5-45DD-BE1B-46E48544B083}" xr6:coauthVersionLast="47" xr6:coauthVersionMax="47" xr10:uidLastSave="{30BC71A0-8D68-4374-85FF-8438C8D08816}"/>
  <bookViews>
    <workbookView xWindow="-108" yWindow="-108" windowWidth="23256" windowHeight="12456" xr2:uid="{BF43666F-7D74-41D8-A8EC-929DF723E928}"/>
  </bookViews>
  <sheets>
    <sheet name="Notas080526_OrganizacionSubgere" sheetId="2" r:id="rId1"/>
    <sheet name="Por Frecuencia" sheetId="3" r:id="rId2"/>
  </sheets>
  <definedNames>
    <definedName name="_xlnm._FilterDatabase" localSheetId="1" hidden="1">'Por Frecuencia'!$A$1:$J$45</definedName>
    <definedName name="DatosExternos_1" localSheetId="0" hidden="1">Notas080526_OrganizacionSubgere!$A$1:$E$33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A7B07D4-296F-4DD1-BC5D-3BDE2D1C9179}" keepAlive="1" name="Consulta - Notas080526_OrganizacionSubgerentes" description="Conexión a la consulta 'Notas080526_OrganizacionSubgerentes' en el libro." type="5" refreshedVersion="8" background="1" saveData="1">
    <dbPr connection="Provider=Microsoft.Mashup.OleDb.1;Data Source=$Workbook$;Location=Notas080526_OrganizacionSubgerentes;Extended Properties=&quot;&quot;" command="SELECT * FROM [Notas080526_OrganizacionSubgerentes]"/>
  </connection>
</connections>
</file>

<file path=xl/sharedStrings.xml><?xml version="1.0" encoding="utf-8"?>
<sst xmlns="http://schemas.openxmlformats.org/spreadsheetml/2006/main" count="340" uniqueCount="171">
  <si>
    <t>Document ID</t>
  </si>
  <si>
    <t>contenido</t>
  </si>
  <si>
    <t>proyecto</t>
  </si>
  <si>
    <t>0GqL19P0XepjiOoeFtsd</t>
  </si>
  <si>
    <t>Administrativo OTROS</t>
  </si>
  <si>
    <t>null</t>
  </si>
  <si>
    <t>Portal de proveedor y portal FIC sin repositorio centralizado</t>
  </si>
  <si>
    <t>residente adminis, empresa</t>
  </si>
  <si>
    <t>1Rj3RcjmRcdnZhYbCz3l</t>
  </si>
  <si>
    <t>Administrativo RESIDENTE</t>
  </si>
  <si>
    <t>Control de asentamientos: datos de topógrafos no graficados automáticamente</t>
  </si>
  <si>
    <t>Comite obra,</t>
  </si>
  <si>
    <t>8b5atRx3VK6R6HQoDANt</t>
  </si>
  <si>
    <t>Tableros BIM–Power BI para volumetría de concretos y ventanería</t>
  </si>
  <si>
    <t>AMWOHXqgYL0gSy9ZH41k</t>
  </si>
  <si>
    <t>Administrativo ALMACEN</t>
  </si>
  <si>
    <t>Órdenes de compra sin alertas de antigüedad ni cierre automático</t>
  </si>
  <si>
    <t>Compras, almacenistas, residentes administrativos</t>
  </si>
  <si>
    <t>B63m3itMvZvuWciGsKnh</t>
  </si>
  <si>
    <t>Informes mensuales: sin estándar de prompt ni plantilla automatizada</t>
  </si>
  <si>
    <t>- Residentes Urbanismo</t>
  </si>
  <si>
    <t>DFKhiE3assagDgJCA7PJ</t>
  </si>
  <si>
    <t>Administrativo DIRECTORES</t>
  </si>
  <si>
    <t>Actas de calidad BIM y libro de obra: sin firma digital</t>
  </si>
  <si>
    <t>BIM ACC, directores, Residentes tecnicos, Estandarizacion de Procesos (Leo)</t>
  </si>
  <si>
    <t>DoCubiS93SWr1z5RoSLt</t>
  </si>
  <si>
    <t>Tablet para residentes: actividades y formatos sin digitalizar en campo</t>
  </si>
  <si>
    <t>FOOcPYkE9oAcMAlmlEQQ</t>
  </si>
  <si>
    <t>Entradas de almacén: remisión con ID diferente a la OC</t>
  </si>
  <si>
    <t>Administrativos, directores, almacenistas, control</t>
  </si>
  <si>
    <t>Fa7p3ibzvkYS4l7zcdX1</t>
  </si>
  <si>
    <t>Conectar con la programacion de compras y condicionales por vencimeinto de materiales</t>
  </si>
  <si>
    <t>IA para anticipar pedidos y despachos ligada a la programación</t>
  </si>
  <si>
    <t>I5P3fNYikWHG0ccGRBvB</t>
  </si>
  <si>
    <t>Estandarización de insumos: inactivos sin depurar, cuentas contables incorrectas</t>
  </si>
  <si>
    <t>- Todo</t>
  </si>
  <si>
    <t>LIxbzCd76LhEHTqaooBP</t>
  </si>
  <si>
    <t>Solicitudes de contratos: insumos distintos por sucursal sin estandarizar</t>
  </si>
  <si>
    <t>NF2C3DHHhuYRx9u8NtcI</t>
  </si>
  <si>
    <t>Calidad: incidencias sin registro desde celular en campo</t>
  </si>
  <si>
    <t>Nxi4FNyP8CM3Zuj0d99b</t>
  </si>
  <si>
    <t>Comités de obra: actas sin síntesis automática de trazabilidad</t>
  </si>
  <si>
    <t>QnJBbyQV7H4ZaR9YnMvg</t>
  </si>
  <si>
    <t>Administrativo SSTA</t>
  </si>
  <si>
    <t>SSTA: permisos de inicio de semana toman 2.5 horas manuales</t>
  </si>
  <si>
    <t>Obra</t>
  </si>
  <si>
    <t>RjXTZyN2IPKmKKSv4Zjp</t>
  </si>
  <si>
    <t>Bot de concretos / Informes de laboratorio: registro manual diario</t>
  </si>
  <si>
    <t>Residentes tecnicos, directores de obra, supervision tecnica.</t>
  </si>
  <si>
    <t>RqAPx6E6fdUxxgYsyozK</t>
  </si>
  <si>
    <t>Horas extras sin integración ni registro de causa</t>
  </si>
  <si>
    <t>RESIDENTES TECNCICOS, DIRECTOR DE OBRA, ADMINISTRATIVO</t>
  </si>
  <si>
    <t>TkNaBnUu9mGDEu26snl0</t>
  </si>
  <si>
    <t>Firma electrónica de contratos: pérdida de certificado en cada cambio</t>
  </si>
  <si>
    <t>VT7Op44ImCP89ZUp11LY</t>
  </si>
  <si>
    <t>SGD – Aprobación de subgerente en entrada: redundante tras hechos cumplidos</t>
  </si>
  <si>
    <t>Directores, administrativo, almacen</t>
  </si>
  <si>
    <t>WRCArjc2k60AVQEt9bNX</t>
  </si>
  <si>
    <t>Se puede solucionar con tema de preactas</t>
  </si>
  <si>
    <t>Soportes de cortes: formatos sin estandarizar entre proyectos</t>
  </si>
  <si>
    <t>eZtGMxRMRZfNg0QnNonf</t>
  </si>
  <si>
    <t>BOT facturas: 20+ diarias radicadas manualmente</t>
  </si>
  <si>
    <t>le pega a todos: contratista, proveedor, adminsitrativo, contabilidad.</t>
  </si>
  <si>
    <t>jyc01BP0EMypvCY9s2Ub</t>
  </si>
  <si>
    <t>Servicios públicos sin centralización ni débito automático</t>
  </si>
  <si>
    <t>Administativo, contabilida y tesoreria, subgerentes, directores</t>
  </si>
  <si>
    <t>ksSgHtU02m8OXJVZNyod</t>
  </si>
  <si>
    <t>Alquiler de equipo sin inventario, hojas de vida ni mantenimiento</t>
  </si>
  <si>
    <t>comite de obra, directores, residentes, administrativo</t>
  </si>
  <si>
    <t>l1uJD4M4nn4p5MGkq8JL</t>
  </si>
  <si>
    <t>Control de cortes BIM: reprocesos de ejecución doble no detectados</t>
  </si>
  <si>
    <t>lfpBWJabQVy2MGIpj8Ka</t>
  </si>
  <si>
    <t>Cambios de precio: lista no ligada al insumo en SINCO</t>
  </si>
  <si>
    <t>qt9jAfpmXx86tZpvqRJ1</t>
  </si>
  <si>
    <t>Se conectaria con el Proceso general de contratos</t>
  </si>
  <si>
    <t>Control de cortes: amortización y anticipo sin alerta de vencimiento</t>
  </si>
  <si>
    <t>rniXl44qePj4rVtLcFeN</t>
  </si>
  <si>
    <t>Administrativo SINCO</t>
  </si>
  <si>
    <t>Contratos en cero: sin cierre automático ni alerta previa de auditoría</t>
  </si>
  <si>
    <t>sxUHgwUwr1ZqsuCkfdeM</t>
  </si>
  <si>
    <t>FIC y seguridad social: verificación manual de legalidad y pagos</t>
  </si>
  <si>
    <t>Contratista, directores, seguridad, residentes, empresa</t>
  </si>
  <si>
    <t>v1j2reVtIb94R2aUMjdP</t>
  </si>
  <si>
    <t>SGD – Flujo relación de pago: Excel manual por residente</t>
  </si>
  <si>
    <t>Residentes adminsitrativos, directorers de obra, contabilidad y tesoreria</t>
  </si>
  <si>
    <t>vjZrbvZMDxRTp8x3Cbve</t>
  </si>
  <si>
    <t>PAC desligado de programación · llenado manual semana a semana</t>
  </si>
  <si>
    <t>Directores, residentes tecn, adm, subegrente, gerente, contratistas. Se propone Arquitecta Alejandra</t>
  </si>
  <si>
    <t>wLyJsxhltmDNRQQ4m3Rm</t>
  </si>
  <si>
    <t>Flujo de directores SINCO–Control: proyección mensual en Excel manual</t>
  </si>
  <si>
    <t>Directores, subgenretes, tesoreria, empresa</t>
  </si>
  <si>
    <t>xKg4mQNgIAT7Yz23mUFq</t>
  </si>
  <si>
    <t>Control de contratos y cortes: vencimiento, amortización y estado de gestión</t>
  </si>
  <si>
    <t>y5ZTuKli7imJaxL86fSr</t>
  </si>
  <si>
    <t>Plan de calidad: formatos dispersos, sin repositorio ni estándar ATS</t>
  </si>
  <si>
    <t>Direcotres, residentes. Debe incluirse con Leo Reyes</t>
  </si>
  <si>
    <t>Estado</t>
  </si>
  <si>
    <t>Revisar Viabilidad</t>
  </si>
  <si>
    <t>En proceso: MODELO DE GESTION INTEGRAL BIM</t>
  </si>
  <si>
    <t>Observacion</t>
  </si>
  <si>
    <t>Se debe trabajar con Compras</t>
  </si>
  <si>
    <t>Amarrado a SRM</t>
  </si>
  <si>
    <t>DOLIENTE</t>
  </si>
  <si>
    <t>Rank</t>
  </si>
  <si>
    <t>Nombre Ineficiencia</t>
  </si>
  <si>
    <t>Descripción</t>
  </si>
  <si>
    <t>Reserva del Lago (RL)</t>
  </si>
  <si>
    <t>Viale (VI)</t>
  </si>
  <si>
    <t>Madero (MA)</t>
  </si>
  <si>
    <t>Américas (AM)</t>
  </si>
  <si>
    <t>Consulta Peregrino</t>
  </si>
  <si>
    <t>Sesiones</t>
  </si>
  <si>
    <t>SINCO</t>
  </si>
  <si>
    <t>Portero, ARHI, Bitácora y Temporal no articulados · proceso manual · sin bloqueo por condición médica</t>
  </si>
  <si>
    <t>✓</t>
  </si>
  <si>
    <t>Pedidos en Excel antes de SINCO — doble digitación sin valor</t>
  </si>
  <si>
    <t>Aprobación en Excel y re-digitación en SINCO · SSTA sin acceso · proyección manual</t>
  </si>
  <si>
    <t>Correos distintos por obra · proveedor no sabe a cuál enviar · OC no llega al proveedor</t>
  </si>
  <si>
    <t>Base de presupuesto SINCO se recarga manualmente cada vez</t>
  </si>
  <si>
    <t>Cuadro comparativo sin actualización automática · memorias no estandarizadas · control frena 3 meses antes</t>
  </si>
  <si>
    <t>Cobro tarde · equipos en desuso sin alerta · control en manos de residentes · sin preacta automática</t>
  </si>
  <si>
    <t>Cada obra con su cuadro · laboratorios no comparten bases · sin comparación automática con norma</t>
  </si>
  <si>
    <t>Pago depende de Excel · causación y pago desarticulados · tesorería sin programación automática</t>
  </si>
  <si>
    <t>Preactas digitales y soportes — estándar de memorias y firma digital</t>
  </si>
  <si>
    <t>Preacta en SINCO sin estandarizar · memorias sin formato único · firma digital pendiente</t>
  </si>
  <si>
    <t>Control de equipos: sin inventario — informe no genera preacta</t>
  </si>
  <si>
    <t>No se sabe qué hay en obra · preacta manual · módulo Portero sin aprovechar</t>
  </si>
  <si>
    <t>Sin incentivos · sin conexión BIM · módulo de calidad SINCO sin explotar</t>
  </si>
  <si>
    <t>Salidas de almacén: flujo excesivo · prueba piloto parada</t>
  </si>
  <si>
    <t>Vale físico · múltiples aprobaciones · maestros sin visibilidad de inventario</t>
  </si>
  <si>
    <t>Creación de contratistas: hasta un mes, duplicada entre sociedades</t>
  </si>
  <si>
    <t>Mismos contratistas aprobados por separado en cada sociedad · SRM en proceso</t>
  </si>
  <si>
    <t>Tipologia de contratistas - tipo de contrato por actividad económica</t>
  </si>
  <si>
    <t>Obra asigna tipo cuando debería ser contabilidad · error se detecta con la factura · 120 opciones reteICA</t>
  </si>
  <si>
    <t>Relación de pagos enviada por Excel a tesorería</t>
  </si>
  <si>
    <t>Obra hace la relación manualmente · contabilidad debe validar antes · no integrado en SINCO</t>
  </si>
  <si>
    <t>Sin cruce de número de contrato con pago · cuadro Excel manual · sin validación legal automatizada</t>
  </si>
  <si>
    <t>Vencimiento de contratos y pólizas sin alertas anticipadas</t>
  </si>
  <si>
    <t>Se enteran al generar el corte · Ing. Forero aprueba solo viernes · alerta debe ser 3 semanas antes</t>
  </si>
  <si>
    <t>Remisión del proveedor debe subirse digital a SINCO · debe traer número de OC · sin impresión de entrada</t>
  </si>
  <si>
    <t>Minutas SINCO: datos repetitivos, pipeline sin parametrizar por monto</t>
  </si>
  <si>
    <t>Subgerente, cédulas, anticipos e IVA siempre manuales · control interno solo revisa los lunes</t>
  </si>
  <si>
    <t>Pólizas: cada contratista hace la suya — obra unifica y verifica manualmente</t>
  </si>
  <si>
    <t>Sin validación automática vs. contrato · sin alerta de actualización en SINCO</t>
  </si>
  <si>
    <t>OC viejas sin usar generan observaciones de auditoría · sin alerta de vencimiento</t>
  </si>
  <si>
    <t>Sin alertas de recibo · sin vínculo cuenta contrato · costo indirecto sin automatizar</t>
  </si>
  <si>
    <t>Contratista sin visibilidad de cortes ni pagos · FIC manual lleva mucho tiempo</t>
  </si>
  <si>
    <t>Sin inducción centralizada · gestión del conocimiento ausente · ACONEX propuesto</t>
  </si>
  <si>
    <t>Primeros días del mes · envío a Daiana Plata · presupuestado vs. proyectado sin automatizar</t>
  </si>
  <si>
    <t>Sin dictado desde campo · sin foto adjunta · libro de obra aún en papel</t>
  </si>
  <si>
    <t>Plantilla sin definir · estándar sin subir a plataforma · requiere IA</t>
  </si>
  <si>
    <t>Sin responsable de bloqueo · insumos CEMEX con códigos distintos por negociación</t>
  </si>
  <si>
    <t>Corte máximo día 30 · aprobación sujeta al precio del nuevo año · proceso manual</t>
  </si>
  <si>
    <t>Se detectan hasta la auditoría · cierre manual · sin alerta previa</t>
  </si>
  <si>
    <t>Sin foto + dictado · Calidad Cloud y BIM sin integrar · plan piloto iniciado</t>
  </si>
  <si>
    <t>Sin IA que identifique antes/ahora · protocolo existe pero no se aplica</t>
  </si>
  <si>
    <t>ZOHO por perfil · cuadro comparativo visible al contratista · proceso complejo</t>
  </si>
  <si>
    <t>Sin visualización de volúmenes por elemento · cuadros de obra desconectados de SINCO</t>
  </si>
  <si>
    <t>Múltiples firmas · seguridad social diaria manual · reporte de ingresos manual</t>
  </si>
  <si>
    <t>Lecturas con criterio técnico · sin visualización automática · solo en Viale</t>
  </si>
  <si>
    <t>Informes a entidades públicas manuales: acueducto, IDU, IDRD, urbanismo</t>
  </si>
  <si>
    <t>Cada entidad con formato distinto · estructura mensual ya existe pero no se automatiza</t>
  </si>
  <si>
    <t>Ing. Esperanza lidera estandarización · proceso en curso</t>
  </si>
  <si>
    <t>Multibase con consecutivos distintos · error llega hasta contabilidad</t>
  </si>
  <si>
    <t>Ya hubo pedido, OC y despacho — la aprobación del subgerente en la entrada no agrega valor · presente en VI y MA</t>
  </si>
  <si>
    <t>Sin digitalización móvil · protocolos de calidad sin conexión · solo Viale</t>
  </si>
  <si>
    <t>Modelo BIM no alerta sobre ejecuciones duplicadas · solo Viale</t>
  </si>
  <si>
    <t>N8N y Claude para alertas · tiempos muertos · solo Reserva del Lago</t>
  </si>
  <si>
    <t>Alerta de vencimiento en cortes · saldo pendiente por corte · solo Viale</t>
  </si>
  <si>
    <t>Alertas de pólizas y contratos · seguimiento de amortización y retención · solo Viale</t>
  </si>
  <si>
    <t>Detalle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</si>
</sst>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0D7F5F"/>
        <bgColor rgb="FF0D7F5F"/>
      </patternFill>
    </fill>
  </fills>
  <borders count="4">
    <border>
      <left/>
      <right/>
      <top/>
      <bottom/>
      <diagonal/>
    </border>
    <border>
      <left/>
      <right/>
      <top style="thin">
        <color rgb="FFA9D08E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</cellXfs>
  <cellStyles count="1">
    <cellStyle name="Normal" xfId="0" builtinId="0"/>
  </cellStyles>
  <dxfs count="9"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00769AA7-8B66-4DBA-AD52-A026259719B8}" autoFormatId="16" applyNumberFormats="0" applyBorderFormats="0" applyFontFormats="0" applyPatternFormats="0" applyAlignmentFormats="0" applyWidthHeightFormats="0">
  <queryTableRefresh nextId="14" unboundColumnsRight="2">
    <queryTableFields count="7">
      <queryTableField id="1" name="Document ID" tableColumnId="1"/>
      <queryTableField id="2" name="contenido" tableColumnId="2"/>
      <queryTableField id="6" name="proyecto" tableColumnId="6"/>
      <queryTableField id="13" dataBound="0" tableColumnId="5"/>
      <queryTableField id="7" name="tecnologia" tableColumnId="7"/>
      <queryTableField id="11" dataBound="0" tableColumnId="3"/>
      <queryTableField id="12" dataBound="0" tableColumnId="4"/>
    </queryTableFields>
    <queryTableDeletedFields count="6">
      <deletedField name="fechaCierre"/>
      <deletedField name="fechaInicio"/>
      <deletedField name="importancia"/>
      <deletedField name="timestamp"/>
      <deletedField name="tipo"/>
      <deletedField name="urgenci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8B03D9-BB02-4890-9DE3-8CD900B27400}" name="Notas080526_OrganizacionSubgerentes" displayName="Notas080526_OrganizacionSubgerentes" ref="A1:G33" tableType="queryTable" totalsRowShown="0" headerRowDxfId="8" dataDxfId="7">
  <autoFilter ref="A1:G33" xr:uid="{DB8B03D9-BB02-4890-9DE3-8CD900B27400}"/>
  <tableColumns count="7">
    <tableColumn id="1" xr3:uid="{CE5EA56F-CAC8-41C3-92A2-25B269DA51CE}" uniqueName="1" name="Document ID" queryTableFieldId="1" dataDxfId="6"/>
    <tableColumn id="2" xr3:uid="{FDD0A4A8-FB75-41CE-A78A-7DEB9F99DA39}" uniqueName="2" name="contenido" queryTableFieldId="2" dataDxfId="5"/>
    <tableColumn id="6" xr3:uid="{49A1F630-7E34-4E5F-9433-839580678B05}" uniqueName="6" name="proyecto" queryTableFieldId="6" dataDxfId="4"/>
    <tableColumn id="5" xr3:uid="{FF3F1D85-7CFA-4F51-99D2-85C4E91570AF}" uniqueName="5" name="Detalle" queryTableFieldId="13" dataDxfId="3">
      <calculatedColumnFormula>+VLOOKUP(Notas080526_OrganizacionSubgerentes[[#This Row],[proyecto]],'Por Frecuencia'!$B$2:$C$45,2,FALSE)</calculatedColumnFormula>
    </tableColumn>
    <tableColumn id="7" xr3:uid="{C4CB7353-0F7D-425F-BDBF-998487A13EB1}" uniqueName="7" name="DOLIENTE" queryTableFieldId="7" dataDxfId="2"/>
    <tableColumn id="3" xr3:uid="{542D3633-E823-4ED1-9E2E-B5F082F776E4}" uniqueName="3" name="Estado" queryTableFieldId="11" dataDxfId="1"/>
    <tableColumn id="4" xr3:uid="{EC1EAE08-5EAA-4DC8-8E36-B57604BB3E29}" uniqueName="4" name="Observacion" queryTableFieldId="1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49E89-C281-4524-9B59-ABA483C8404D}">
  <dimension ref="A1:G33"/>
  <sheetViews>
    <sheetView tabSelected="1" topLeftCell="B1" workbookViewId="0">
      <selection activeCell="D11" sqref="D11"/>
    </sheetView>
  </sheetViews>
  <sheetFormatPr baseColWidth="10" defaultRowHeight="14.4" x14ac:dyDescent="0.3"/>
  <cols>
    <col min="1" max="1" width="23" style="1" bestFit="1" customWidth="1"/>
    <col min="2" max="2" width="74.77734375" style="1" bestFit="1" customWidth="1"/>
    <col min="3" max="3" width="73.88671875" style="1" customWidth="1"/>
    <col min="4" max="4" width="79.6640625" style="1" customWidth="1"/>
    <col min="5" max="5" width="73.109375" style="1" customWidth="1"/>
    <col min="6" max="6" width="65.109375" customWidth="1"/>
    <col min="7" max="7" width="58.5546875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170</v>
      </c>
      <c r="E1" s="1" t="s">
        <v>102</v>
      </c>
      <c r="F1" s="1" t="s">
        <v>96</v>
      </c>
      <c r="G1" s="1" t="s">
        <v>99</v>
      </c>
    </row>
    <row r="2" spans="1:7" x14ac:dyDescent="0.3">
      <c r="A2" s="2" t="s">
        <v>3</v>
      </c>
      <c r="B2" s="2" t="s">
        <v>4</v>
      </c>
      <c r="C2" s="2" t="s">
        <v>6</v>
      </c>
      <c r="D2" s="2" t="str">
        <f>+VLOOKUP(Notas080526_OrganizacionSubgerentes[[#This Row],[proyecto]],'Por Frecuencia'!$B$2:$C$45,2,FALSE)</f>
        <v>Contratista sin visibilidad de cortes ni pagos · FIC manual lleva mucho tiempo</v>
      </c>
      <c r="E2" s="2" t="s">
        <v>7</v>
      </c>
      <c r="F2" s="2"/>
      <c r="G2" s="2"/>
    </row>
    <row r="3" spans="1:7" x14ac:dyDescent="0.3">
      <c r="A3" s="2" t="s">
        <v>8</v>
      </c>
      <c r="B3" s="2" t="s">
        <v>9</v>
      </c>
      <c r="C3" s="2" t="s">
        <v>10</v>
      </c>
      <c r="D3" s="2" t="str">
        <f>+VLOOKUP(Notas080526_OrganizacionSubgerentes[[#This Row],[proyecto]],'Por Frecuencia'!$B$2:$C$45,2,FALSE)</f>
        <v>Lecturas con criterio técnico · sin visualización automática · solo en Viale</v>
      </c>
      <c r="E3" s="2" t="s">
        <v>11</v>
      </c>
      <c r="F3" s="2"/>
      <c r="G3" s="2"/>
    </row>
    <row r="4" spans="1:7" x14ac:dyDescent="0.3">
      <c r="A4" s="2" t="s">
        <v>12</v>
      </c>
      <c r="B4" s="2" t="s">
        <v>22</v>
      </c>
      <c r="C4" s="2" t="s">
        <v>13</v>
      </c>
      <c r="D4" s="2" t="str">
        <f>+VLOOKUP(Notas080526_OrganizacionSubgerentes[[#This Row],[proyecto]],'Por Frecuencia'!$B$2:$C$45,2,FALSE)</f>
        <v>Sin visualización de volúmenes por elemento · cuadros de obra desconectados de SINCO</v>
      </c>
      <c r="E4" s="2" t="s">
        <v>5</v>
      </c>
      <c r="F4" s="2" t="s">
        <v>98</v>
      </c>
      <c r="G4" s="2"/>
    </row>
    <row r="5" spans="1:7" x14ac:dyDescent="0.3">
      <c r="A5" s="2" t="s">
        <v>14</v>
      </c>
      <c r="B5" s="2" t="s">
        <v>15</v>
      </c>
      <c r="C5" s="2" t="s">
        <v>16</v>
      </c>
      <c r="D5" s="2" t="str">
        <f>+VLOOKUP(Notas080526_OrganizacionSubgerentes[[#This Row],[proyecto]],'Por Frecuencia'!$B$2:$C$45,2,FALSE)</f>
        <v>OC viejas sin usar generan observaciones de auditoría · sin alerta de vencimiento</v>
      </c>
      <c r="E5" s="2" t="s">
        <v>17</v>
      </c>
      <c r="F5" s="2"/>
      <c r="G5" s="2"/>
    </row>
    <row r="6" spans="1:7" x14ac:dyDescent="0.3">
      <c r="A6" s="2" t="s">
        <v>18</v>
      </c>
      <c r="B6" s="2" t="s">
        <v>9</v>
      </c>
      <c r="C6" s="2" t="s">
        <v>19</v>
      </c>
      <c r="D6" s="2" t="str">
        <f>+VLOOKUP(Notas080526_OrganizacionSubgerentes[[#This Row],[proyecto]],'Por Frecuencia'!$B$2:$C$45,2,FALSE)</f>
        <v>Plantilla sin definir · estándar sin subir a plataforma · requiere IA</v>
      </c>
      <c r="E6" s="2" t="s">
        <v>20</v>
      </c>
      <c r="F6" s="2"/>
      <c r="G6" s="2"/>
    </row>
    <row r="7" spans="1:7" x14ac:dyDescent="0.3">
      <c r="A7" s="2" t="s">
        <v>21</v>
      </c>
      <c r="B7" s="2" t="s">
        <v>22</v>
      </c>
      <c r="C7" s="2" t="s">
        <v>23</v>
      </c>
      <c r="D7" s="2" t="str">
        <f>+VLOOKUP(Notas080526_OrganizacionSubgerentes[[#This Row],[proyecto]],'Por Frecuencia'!$B$2:$C$45,2,FALSE)</f>
        <v>Sin dictado desde campo · sin foto adjunta · libro de obra aún en papel</v>
      </c>
      <c r="E7" s="2" t="s">
        <v>24</v>
      </c>
      <c r="F7" s="2"/>
      <c r="G7" s="2"/>
    </row>
    <row r="8" spans="1:7" x14ac:dyDescent="0.3">
      <c r="A8" s="2" t="s">
        <v>25</v>
      </c>
      <c r="B8" s="2" t="s">
        <v>22</v>
      </c>
      <c r="C8" s="2" t="s">
        <v>26</v>
      </c>
      <c r="D8" s="2" t="str">
        <f>+VLOOKUP(Notas080526_OrganizacionSubgerentes[[#This Row],[proyecto]],'Por Frecuencia'!$B$2:$C$45,2,FALSE)</f>
        <v>Sin foto + dictado · Calidad Cloud y BIM sin integrar · plan piloto iniciado</v>
      </c>
      <c r="E8" s="2" t="s">
        <v>5</v>
      </c>
      <c r="F8" s="2" t="s">
        <v>98</v>
      </c>
      <c r="G8" s="2"/>
    </row>
    <row r="9" spans="1:7" x14ac:dyDescent="0.3">
      <c r="A9" s="2" t="s">
        <v>27</v>
      </c>
      <c r="B9" s="2" t="s">
        <v>4</v>
      </c>
      <c r="C9" s="2" t="s">
        <v>28</v>
      </c>
      <c r="D9" s="2" t="str">
        <f>+VLOOKUP(Notas080526_OrganizacionSubgerentes[[#This Row],[proyecto]],'Por Frecuencia'!$B$2:$C$45,2,FALSE)</f>
        <v>Remisión del proveedor debe subirse digital a SINCO · debe traer número de OC · sin impresión de entrada</v>
      </c>
      <c r="E9" s="2" t="s">
        <v>29</v>
      </c>
      <c r="F9" s="2"/>
      <c r="G9" s="2" t="s">
        <v>100</v>
      </c>
    </row>
    <row r="10" spans="1:7" x14ac:dyDescent="0.3">
      <c r="A10" s="2" t="s">
        <v>30</v>
      </c>
      <c r="B10" s="2" t="s">
        <v>9</v>
      </c>
      <c r="C10" s="2" t="s">
        <v>32</v>
      </c>
      <c r="D10" s="2" t="str">
        <f>+VLOOKUP(Notas080526_OrganizacionSubgerentes[[#This Row],[proyecto]],'Por Frecuencia'!$B$2:$C$45,2,FALSE)</f>
        <v>N8N y Claude para alertas · tiempos muertos · solo Reserva del Lago</v>
      </c>
      <c r="E10" s="2" t="s">
        <v>5</v>
      </c>
      <c r="F10" s="2"/>
      <c r="G10" s="2" t="s">
        <v>31</v>
      </c>
    </row>
    <row r="11" spans="1:7" x14ac:dyDescent="0.3">
      <c r="A11" s="2" t="s">
        <v>33</v>
      </c>
      <c r="B11" s="2" t="s">
        <v>4</v>
      </c>
      <c r="C11" s="2" t="s">
        <v>34</v>
      </c>
      <c r="D11" s="2" t="str">
        <f>+VLOOKUP(Notas080526_OrganizacionSubgerentes[[#This Row],[proyecto]],'Por Frecuencia'!$B$2:$C$45,2,FALSE)</f>
        <v>Sin responsable de bloqueo · insumos CEMEX con códigos distintos por negociación</v>
      </c>
      <c r="E11" s="2" t="s">
        <v>35</v>
      </c>
      <c r="F11" s="2"/>
      <c r="G11" s="2"/>
    </row>
    <row r="12" spans="1:7" x14ac:dyDescent="0.3">
      <c r="A12" s="2" t="s">
        <v>36</v>
      </c>
      <c r="B12" s="2" t="s">
        <v>22</v>
      </c>
      <c r="C12" s="2" t="s">
        <v>37</v>
      </c>
      <c r="D12" s="2" t="str">
        <f>+VLOOKUP(Notas080526_OrganizacionSubgerentes[[#This Row],[proyecto]],'Por Frecuencia'!$B$2:$C$45,2,FALSE)</f>
        <v>Multibase con consecutivos distintos · error llega hasta contabilidad</v>
      </c>
      <c r="E12" s="2" t="s">
        <v>5</v>
      </c>
      <c r="F12" s="2"/>
      <c r="G12" s="2" t="s">
        <v>101</v>
      </c>
    </row>
    <row r="13" spans="1:7" x14ac:dyDescent="0.3">
      <c r="A13" s="2" t="s">
        <v>38</v>
      </c>
      <c r="B13" s="2" t="s">
        <v>22</v>
      </c>
      <c r="C13" s="2" t="s">
        <v>39</v>
      </c>
      <c r="D13" s="2" t="str">
        <f>+VLOOKUP(Notas080526_OrganizacionSubgerentes[[#This Row],[proyecto]],'Por Frecuencia'!$B$2:$C$45,2,FALSE)</f>
        <v>Sin digitalización móvil · protocolos de calidad sin conexión · solo Viale</v>
      </c>
      <c r="E13" s="2" t="s">
        <v>5</v>
      </c>
      <c r="F13" s="2" t="s">
        <v>98</v>
      </c>
      <c r="G13" s="2"/>
    </row>
    <row r="14" spans="1:7" x14ac:dyDescent="0.3">
      <c r="A14" s="2" t="s">
        <v>40</v>
      </c>
      <c r="B14" s="2" t="s">
        <v>22</v>
      </c>
      <c r="C14" s="2" t="s">
        <v>41</v>
      </c>
      <c r="D14" s="2" t="str">
        <f>+VLOOKUP(Notas080526_OrganizacionSubgerentes[[#This Row],[proyecto]],'Por Frecuencia'!$B$2:$C$45,2,FALSE)</f>
        <v>Sin IA que identifique antes/ahora · protocolo existe pero no se aplica</v>
      </c>
      <c r="E14" s="2" t="s">
        <v>5</v>
      </c>
      <c r="F14" s="2" t="s">
        <v>97</v>
      </c>
      <c r="G14" s="2"/>
    </row>
    <row r="15" spans="1:7" x14ac:dyDescent="0.3">
      <c r="A15" s="2" t="s">
        <v>42</v>
      </c>
      <c r="B15" s="2" t="s">
        <v>43</v>
      </c>
      <c r="C15" s="2" t="s">
        <v>44</v>
      </c>
      <c r="D15" s="2" t="str">
        <f>+VLOOKUP(Notas080526_OrganizacionSubgerentes[[#This Row],[proyecto]],'Por Frecuencia'!$B$2:$C$45,2,FALSE)</f>
        <v>Múltiples firmas · seguridad social diaria manual · reporte de ingresos manual</v>
      </c>
      <c r="E15" s="2" t="s">
        <v>45</v>
      </c>
      <c r="F15" s="2"/>
      <c r="G15" s="2"/>
    </row>
    <row r="16" spans="1:7" x14ac:dyDescent="0.3">
      <c r="A16" s="2" t="s">
        <v>46</v>
      </c>
      <c r="B16" s="2" t="s">
        <v>9</v>
      </c>
      <c r="C16" s="2" t="s">
        <v>47</v>
      </c>
      <c r="D16" s="2" t="str">
        <f>+VLOOKUP(Notas080526_OrganizacionSubgerentes[[#This Row],[proyecto]],'Por Frecuencia'!$B$2:$C$45,2,FALSE)</f>
        <v>Cada obra con su cuadro · laboratorios no comparten bases · sin comparación automática con norma</v>
      </c>
      <c r="E16" s="2" t="s">
        <v>48</v>
      </c>
      <c r="F16" s="2"/>
      <c r="G16" s="2"/>
    </row>
    <row r="17" spans="1:7" x14ac:dyDescent="0.3">
      <c r="A17" s="2" t="s">
        <v>49</v>
      </c>
      <c r="B17" s="2" t="s">
        <v>4</v>
      </c>
      <c r="C17" s="2" t="s">
        <v>50</v>
      </c>
      <c r="D17" s="2" t="str">
        <f>+VLOOKUP(Notas080526_OrganizacionSubgerentes[[#This Row],[proyecto]],'Por Frecuencia'!$B$2:$C$45,2,FALSE)</f>
        <v>Portero, ARHI, Bitácora y Temporal no articulados · proceso manual · sin bloqueo por condición médica</v>
      </c>
      <c r="E17" s="2" t="s">
        <v>51</v>
      </c>
      <c r="F17" s="2"/>
      <c r="G17" s="2"/>
    </row>
    <row r="18" spans="1:7" x14ac:dyDescent="0.3">
      <c r="A18" s="2" t="s">
        <v>52</v>
      </c>
      <c r="B18" s="2" t="s">
        <v>9</v>
      </c>
      <c r="C18" s="2" t="s">
        <v>53</v>
      </c>
      <c r="D18" s="2" t="str">
        <f>+VLOOKUP(Notas080526_OrganizacionSubgerentes[[#This Row],[proyecto]],'Por Frecuencia'!$B$2:$C$45,2,FALSE)</f>
        <v>ZOHO por perfil · cuadro comparativo visible al contratista · proceso complejo</v>
      </c>
      <c r="E18" s="2" t="s">
        <v>5</v>
      </c>
      <c r="F18" s="2"/>
      <c r="G18" s="2" t="s">
        <v>101</v>
      </c>
    </row>
    <row r="19" spans="1:7" x14ac:dyDescent="0.3">
      <c r="A19" s="2" t="s">
        <v>54</v>
      </c>
      <c r="B19" s="2" t="s">
        <v>15</v>
      </c>
      <c r="C19" s="2" t="s">
        <v>55</v>
      </c>
      <c r="D19" s="2" t="str">
        <f>+VLOOKUP(Notas080526_OrganizacionSubgerentes[[#This Row],[proyecto]],'Por Frecuencia'!$B$2:$C$45,2,FALSE)</f>
        <v>Ya hubo pedido, OC y despacho — la aprobación del subgerente en la entrada no agrega valor · presente en VI y MA</v>
      </c>
      <c r="E19" s="2" t="s">
        <v>56</v>
      </c>
      <c r="F19" s="2"/>
      <c r="G19" s="2"/>
    </row>
    <row r="20" spans="1:7" x14ac:dyDescent="0.3">
      <c r="A20" s="2" t="s">
        <v>57</v>
      </c>
      <c r="B20" s="2" t="s">
        <v>9</v>
      </c>
      <c r="C20" s="2" t="s">
        <v>59</v>
      </c>
      <c r="D20" s="2" t="str">
        <f>+VLOOKUP(Notas080526_OrganizacionSubgerentes[[#This Row],[proyecto]],'Por Frecuencia'!$B$2:$C$45,2,FALSE)</f>
        <v>Ing. Esperanza lidera estandarización · proceso en curso</v>
      </c>
      <c r="E20" s="2" t="s">
        <v>5</v>
      </c>
      <c r="F20" s="2"/>
      <c r="G20" s="3" t="s">
        <v>58</v>
      </c>
    </row>
    <row r="21" spans="1:7" x14ac:dyDescent="0.3">
      <c r="A21" s="2" t="s">
        <v>60</v>
      </c>
      <c r="B21" s="2" t="s">
        <v>4</v>
      </c>
      <c r="C21" s="2" t="s">
        <v>61</v>
      </c>
      <c r="D21" s="2" t="str">
        <f>+VLOOKUP(Notas080526_OrganizacionSubgerentes[[#This Row],[proyecto]],'Por Frecuencia'!$B$2:$C$45,2,FALSE)</f>
        <v>Correos distintos por obra · proveedor no sabe a cuál enviar · OC no llega al proveedor</v>
      </c>
      <c r="E21" s="2" t="s">
        <v>62</v>
      </c>
      <c r="F21" s="2"/>
      <c r="G21" s="2"/>
    </row>
    <row r="22" spans="1:7" x14ac:dyDescent="0.3">
      <c r="A22" s="2" t="s">
        <v>63</v>
      </c>
      <c r="B22" s="2" t="s">
        <v>4</v>
      </c>
      <c r="C22" s="2" t="s">
        <v>64</v>
      </c>
      <c r="D22" s="2" t="str">
        <f>+VLOOKUP(Notas080526_OrganizacionSubgerentes[[#This Row],[proyecto]],'Por Frecuencia'!$B$2:$C$45,2,FALSE)</f>
        <v>Sin alertas de recibo · sin vínculo cuenta contrato · costo indirecto sin automatizar</v>
      </c>
      <c r="E22" s="2" t="s">
        <v>65</v>
      </c>
      <c r="F22" s="2"/>
      <c r="G22" s="2"/>
    </row>
    <row r="23" spans="1:7" x14ac:dyDescent="0.3">
      <c r="A23" s="2" t="s">
        <v>66</v>
      </c>
      <c r="B23" s="2" t="s">
        <v>15</v>
      </c>
      <c r="C23" s="2" t="s">
        <v>67</v>
      </c>
      <c r="D23" s="2" t="str">
        <f>+VLOOKUP(Notas080526_OrganizacionSubgerentes[[#This Row],[proyecto]],'Por Frecuencia'!$B$2:$C$45,2,FALSE)</f>
        <v>Cobro tarde · equipos en desuso sin alerta · control en manos de residentes · sin preacta automática</v>
      </c>
      <c r="E23" s="2" t="s">
        <v>68</v>
      </c>
      <c r="F23" s="2"/>
      <c r="G23" s="2"/>
    </row>
    <row r="24" spans="1:7" x14ac:dyDescent="0.3">
      <c r="A24" s="2" t="s">
        <v>69</v>
      </c>
      <c r="B24" s="2" t="s">
        <v>22</v>
      </c>
      <c r="C24" s="2" t="s">
        <v>70</v>
      </c>
      <c r="D24" s="2" t="str">
        <f>+VLOOKUP(Notas080526_OrganizacionSubgerentes[[#This Row],[proyecto]],'Por Frecuencia'!$B$2:$C$45,2,FALSE)</f>
        <v>Modelo BIM no alerta sobre ejecuciones duplicadas · solo Viale</v>
      </c>
      <c r="E24" s="2" t="s">
        <v>5</v>
      </c>
      <c r="F24" s="2" t="s">
        <v>98</v>
      </c>
      <c r="G24" s="2"/>
    </row>
    <row r="25" spans="1:7" x14ac:dyDescent="0.3">
      <c r="A25" s="2" t="s">
        <v>71</v>
      </c>
      <c r="B25" s="2" t="s">
        <v>9</v>
      </c>
      <c r="C25" s="2" t="s">
        <v>72</v>
      </c>
      <c r="D25" s="2" t="str">
        <f>+VLOOKUP(Notas080526_OrganizacionSubgerentes[[#This Row],[proyecto]],'Por Frecuencia'!$B$2:$C$45,2,FALSE)</f>
        <v>Corte máximo día 30 · aprobación sujeta al precio del nuevo año · proceso manual</v>
      </c>
      <c r="E25" s="2" t="s">
        <v>5</v>
      </c>
      <c r="F25" s="2" t="s">
        <v>97</v>
      </c>
      <c r="G25" s="2"/>
    </row>
    <row r="26" spans="1:7" x14ac:dyDescent="0.3">
      <c r="A26" s="2" t="s">
        <v>73</v>
      </c>
      <c r="B26" s="2" t="s">
        <v>9</v>
      </c>
      <c r="C26" s="2" t="s">
        <v>75</v>
      </c>
      <c r="D26" s="2" t="str">
        <f>+VLOOKUP(Notas080526_OrganizacionSubgerentes[[#This Row],[proyecto]],'Por Frecuencia'!$B$2:$C$45,2,FALSE)</f>
        <v>Alerta de vencimiento en cortes · saldo pendiente por corte · solo Viale</v>
      </c>
      <c r="E26" s="2" t="s">
        <v>5</v>
      </c>
      <c r="F26" s="2"/>
      <c r="G26" s="2" t="s">
        <v>74</v>
      </c>
    </row>
    <row r="27" spans="1:7" x14ac:dyDescent="0.3">
      <c r="A27" s="2" t="s">
        <v>76</v>
      </c>
      <c r="B27" s="2" t="s">
        <v>77</v>
      </c>
      <c r="C27" s="2" t="s">
        <v>78</v>
      </c>
      <c r="D27" s="2" t="str">
        <f>+VLOOKUP(Notas080526_OrganizacionSubgerentes[[#This Row],[proyecto]],'Por Frecuencia'!$B$2:$C$45,2,FALSE)</f>
        <v>Se detectan hasta la auditoría · cierre manual · sin alerta previa</v>
      </c>
      <c r="E27" s="2" t="s">
        <v>35</v>
      </c>
      <c r="F27" s="2"/>
      <c r="G27" s="2"/>
    </row>
    <row r="28" spans="1:7" x14ac:dyDescent="0.3">
      <c r="A28" s="2" t="s">
        <v>79</v>
      </c>
      <c r="B28" s="2" t="s">
        <v>43</v>
      </c>
      <c r="C28" s="2" t="s">
        <v>80</v>
      </c>
      <c r="D28" s="2" t="str">
        <f>+VLOOKUP(Notas080526_OrganizacionSubgerentes[[#This Row],[proyecto]],'Por Frecuencia'!$B$2:$C$45,2,FALSE)</f>
        <v>Sin cruce de número de contrato con pago · cuadro Excel manual · sin validación legal automatizada</v>
      </c>
      <c r="E28" s="2" t="s">
        <v>81</v>
      </c>
      <c r="F28" s="2"/>
      <c r="G28" s="2"/>
    </row>
    <row r="29" spans="1:7" x14ac:dyDescent="0.3">
      <c r="A29" s="2" t="s">
        <v>82</v>
      </c>
      <c r="B29" s="2" t="s">
        <v>9</v>
      </c>
      <c r="C29" s="2" t="s">
        <v>83</v>
      </c>
      <c r="D29" s="2" t="str">
        <f>+VLOOKUP(Notas080526_OrganizacionSubgerentes[[#This Row],[proyecto]],'Por Frecuencia'!$B$2:$C$45,2,FALSE)</f>
        <v>Pago depende de Excel · causación y pago desarticulados · tesorería sin programación automática</v>
      </c>
      <c r="E29" s="2" t="s">
        <v>84</v>
      </c>
      <c r="F29" s="2"/>
      <c r="G29" s="2"/>
    </row>
    <row r="30" spans="1:7" x14ac:dyDescent="0.3">
      <c r="A30" s="2" t="s">
        <v>85</v>
      </c>
      <c r="B30" s="2" t="s">
        <v>22</v>
      </c>
      <c r="C30" s="2" t="s">
        <v>86</v>
      </c>
      <c r="D30" s="2" t="str">
        <f>+VLOOKUP(Notas080526_OrganizacionSubgerentes[[#This Row],[proyecto]],'Por Frecuencia'!$B$2:$C$45,2,FALSE)</f>
        <v>Sin incentivos · sin conexión BIM · módulo de calidad SINCO sin explotar</v>
      </c>
      <c r="E30" s="2" t="s">
        <v>87</v>
      </c>
      <c r="F30" s="2"/>
      <c r="G30" s="2"/>
    </row>
    <row r="31" spans="1:7" x14ac:dyDescent="0.3">
      <c r="A31" s="2" t="s">
        <v>88</v>
      </c>
      <c r="B31" s="2" t="s">
        <v>22</v>
      </c>
      <c r="C31" s="2" t="s">
        <v>89</v>
      </c>
      <c r="D31" s="2" t="str">
        <f>+VLOOKUP(Notas080526_OrganizacionSubgerentes[[#This Row],[proyecto]],'Por Frecuencia'!$B$2:$C$45,2,FALSE)</f>
        <v>Primeros días del mes · envío a Daiana Plata · presupuestado vs. proyectado sin automatizar</v>
      </c>
      <c r="E31" s="2" t="s">
        <v>90</v>
      </c>
      <c r="F31" s="2"/>
      <c r="G31" s="2"/>
    </row>
    <row r="32" spans="1:7" x14ac:dyDescent="0.3">
      <c r="A32" s="2" t="s">
        <v>91</v>
      </c>
      <c r="B32" s="2" t="s">
        <v>9</v>
      </c>
      <c r="C32" s="2" t="s">
        <v>92</v>
      </c>
      <c r="D32" s="2" t="str">
        <f>+VLOOKUP(Notas080526_OrganizacionSubgerentes[[#This Row],[proyecto]],'Por Frecuencia'!$B$2:$C$45,2,FALSE)</f>
        <v>Alertas de pólizas y contratos · seguimiento de amortización y retención · solo Viale</v>
      </c>
      <c r="E32" s="2" t="s">
        <v>5</v>
      </c>
      <c r="F32" s="2"/>
      <c r="G32" s="2" t="s">
        <v>74</v>
      </c>
    </row>
    <row r="33" spans="1:7" x14ac:dyDescent="0.3">
      <c r="A33" s="2" t="s">
        <v>93</v>
      </c>
      <c r="B33" s="2" t="s">
        <v>22</v>
      </c>
      <c r="C33" s="2" t="s">
        <v>94</v>
      </c>
      <c r="D33" s="2" t="str">
        <f>+VLOOKUP(Notas080526_OrganizacionSubgerentes[[#This Row],[proyecto]],'Por Frecuencia'!$B$2:$C$45,2,FALSE)</f>
        <v>Sin inducción centralizada · gestión del conocimiento ausente · ACONEX propuesto</v>
      </c>
      <c r="E33" s="2" t="s">
        <v>95</v>
      </c>
      <c r="F33" s="2"/>
      <c r="G33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F4E99-1C7D-4B26-A929-984CB0C54224}">
  <dimension ref="A1:J45"/>
  <sheetViews>
    <sheetView workbookViewId="0">
      <pane ySplit="1" topLeftCell="A7" activePane="bottomLeft" state="frozen"/>
      <selection pane="bottomLeft" activeCell="B12" sqref="B12"/>
    </sheetView>
  </sheetViews>
  <sheetFormatPr baseColWidth="10" defaultColWidth="8.88671875" defaultRowHeight="14.4" x14ac:dyDescent="0.3"/>
  <cols>
    <col min="1" max="1" width="6" customWidth="1"/>
    <col min="2" max="2" width="45" customWidth="1"/>
    <col min="3" max="3" width="50" customWidth="1"/>
    <col min="4" max="9" width="15" customWidth="1"/>
  </cols>
  <sheetData>
    <row r="1" spans="1:10" ht="28.8" x14ac:dyDescent="0.3">
      <c r="A1" s="4" t="s">
        <v>103</v>
      </c>
      <c r="B1" s="4" t="s">
        <v>104</v>
      </c>
      <c r="C1" s="4" t="s">
        <v>105</v>
      </c>
      <c r="D1" s="4" t="s">
        <v>106</v>
      </c>
      <c r="E1" s="4" t="s">
        <v>107</v>
      </c>
      <c r="F1" s="4" t="s">
        <v>108</v>
      </c>
      <c r="G1" s="4" t="s">
        <v>109</v>
      </c>
      <c r="H1" s="4" t="s">
        <v>110</v>
      </c>
      <c r="I1" s="4" t="s">
        <v>111</v>
      </c>
      <c r="J1" s="5" t="s">
        <v>112</v>
      </c>
    </row>
    <row r="2" spans="1:10" ht="28.8" x14ac:dyDescent="0.3">
      <c r="A2" s="6">
        <v>1</v>
      </c>
      <c r="B2" s="7" t="s">
        <v>50</v>
      </c>
      <c r="C2" s="7" t="s">
        <v>113</v>
      </c>
      <c r="D2" s="6" t="s">
        <v>114</v>
      </c>
      <c r="E2" s="6" t="s">
        <v>114</v>
      </c>
      <c r="F2" s="6" t="s">
        <v>114</v>
      </c>
      <c r="G2" s="6" t="s">
        <v>114</v>
      </c>
      <c r="H2" s="6"/>
      <c r="I2" s="6">
        <v>4</v>
      </c>
      <c r="J2" s="6"/>
    </row>
    <row r="3" spans="1:10" ht="28.8" x14ac:dyDescent="0.3">
      <c r="A3" s="6">
        <v>2</v>
      </c>
      <c r="B3" s="7" t="s">
        <v>115</v>
      </c>
      <c r="C3" s="7" t="s">
        <v>116</v>
      </c>
      <c r="D3" s="6" t="s">
        <v>114</v>
      </c>
      <c r="E3" s="6" t="s">
        <v>114</v>
      </c>
      <c r="F3" s="6" t="s">
        <v>114</v>
      </c>
      <c r="G3" s="6" t="s">
        <v>114</v>
      </c>
      <c r="H3" s="6" t="s">
        <v>114</v>
      </c>
      <c r="I3" s="6">
        <v>5</v>
      </c>
      <c r="J3" s="6">
        <v>1</v>
      </c>
    </row>
    <row r="4" spans="1:10" ht="28.8" x14ac:dyDescent="0.3">
      <c r="A4" s="6">
        <v>3</v>
      </c>
      <c r="B4" s="7" t="s">
        <v>61</v>
      </c>
      <c r="C4" s="7" t="s">
        <v>117</v>
      </c>
      <c r="D4" s="6" t="s">
        <v>114</v>
      </c>
      <c r="E4" s="6" t="s">
        <v>114</v>
      </c>
      <c r="F4" s="6" t="s">
        <v>114</v>
      </c>
      <c r="G4" s="6" t="s">
        <v>114</v>
      </c>
      <c r="H4" s="6"/>
      <c r="I4" s="6">
        <v>4</v>
      </c>
      <c r="J4" s="6"/>
    </row>
    <row r="5" spans="1:10" ht="28.8" x14ac:dyDescent="0.3">
      <c r="A5" s="6">
        <v>4</v>
      </c>
      <c r="B5" s="7" t="s">
        <v>118</v>
      </c>
      <c r="C5" s="7" t="s">
        <v>119</v>
      </c>
      <c r="D5" s="6" t="s">
        <v>114</v>
      </c>
      <c r="E5" s="6" t="s">
        <v>114</v>
      </c>
      <c r="F5" s="6" t="s">
        <v>114</v>
      </c>
      <c r="G5" s="6"/>
      <c r="H5" s="6"/>
      <c r="I5" s="6">
        <v>3</v>
      </c>
      <c r="J5" s="6">
        <v>1</v>
      </c>
    </row>
    <row r="6" spans="1:10" ht="28.8" x14ac:dyDescent="0.3">
      <c r="A6" s="6">
        <v>5</v>
      </c>
      <c r="B6" s="7" t="s">
        <v>67</v>
      </c>
      <c r="C6" s="7" t="s">
        <v>120</v>
      </c>
      <c r="D6" s="6" t="s">
        <v>114</v>
      </c>
      <c r="E6" s="6" t="s">
        <v>114</v>
      </c>
      <c r="F6" s="6" t="s">
        <v>114</v>
      </c>
      <c r="G6" s="6"/>
      <c r="H6" s="6"/>
      <c r="I6" s="6">
        <v>3</v>
      </c>
      <c r="J6" s="6"/>
    </row>
    <row r="7" spans="1:10" ht="28.8" x14ac:dyDescent="0.3">
      <c r="A7" s="6">
        <v>6</v>
      </c>
      <c r="B7" s="7" t="s">
        <v>47</v>
      </c>
      <c r="C7" s="7" t="s">
        <v>121</v>
      </c>
      <c r="D7" s="6" t="s">
        <v>114</v>
      </c>
      <c r="E7" s="6" t="s">
        <v>114</v>
      </c>
      <c r="F7" s="6" t="s">
        <v>114</v>
      </c>
      <c r="G7" s="6" t="s">
        <v>114</v>
      </c>
      <c r="H7" s="6"/>
      <c r="I7" s="6">
        <v>4</v>
      </c>
      <c r="J7" s="6"/>
    </row>
    <row r="8" spans="1:10" ht="28.8" x14ac:dyDescent="0.3">
      <c r="A8" s="6">
        <v>7</v>
      </c>
      <c r="B8" s="7" t="s">
        <v>83</v>
      </c>
      <c r="C8" s="7" t="s">
        <v>122</v>
      </c>
      <c r="D8" s="6" t="s">
        <v>114</v>
      </c>
      <c r="E8" s="6" t="s">
        <v>114</v>
      </c>
      <c r="F8" s="6" t="s">
        <v>114</v>
      </c>
      <c r="G8" s="6" t="s">
        <v>114</v>
      </c>
      <c r="H8" s="6"/>
      <c r="I8" s="6">
        <v>4</v>
      </c>
      <c r="J8" s="6"/>
    </row>
    <row r="9" spans="1:10" ht="28.8" x14ac:dyDescent="0.3">
      <c r="A9" s="6">
        <v>8</v>
      </c>
      <c r="B9" s="7" t="s">
        <v>123</v>
      </c>
      <c r="C9" s="7" t="s">
        <v>124</v>
      </c>
      <c r="D9" s="6" t="s">
        <v>114</v>
      </c>
      <c r="E9" s="6" t="s">
        <v>114</v>
      </c>
      <c r="F9" s="6" t="s">
        <v>114</v>
      </c>
      <c r="G9" s="6" t="s">
        <v>114</v>
      </c>
      <c r="H9" s="6"/>
      <c r="I9" s="6">
        <v>4</v>
      </c>
      <c r="J9" s="6">
        <v>1</v>
      </c>
    </row>
    <row r="10" spans="1:10" ht="28.8" x14ac:dyDescent="0.3">
      <c r="A10" s="6">
        <v>9</v>
      </c>
      <c r="B10" s="7" t="s">
        <v>125</v>
      </c>
      <c r="C10" s="7" t="s">
        <v>126</v>
      </c>
      <c r="D10" s="6"/>
      <c r="E10" s="6"/>
      <c r="F10" s="6"/>
      <c r="G10" s="6" t="s">
        <v>114</v>
      </c>
      <c r="H10" s="6"/>
      <c r="I10" s="6">
        <v>1</v>
      </c>
      <c r="J10" s="6"/>
    </row>
    <row r="11" spans="1:10" ht="28.8" x14ac:dyDescent="0.3">
      <c r="A11" s="6">
        <v>10</v>
      </c>
      <c r="B11" s="7" t="s">
        <v>86</v>
      </c>
      <c r="C11" s="7" t="s">
        <v>127</v>
      </c>
      <c r="D11" s="6" t="s">
        <v>114</v>
      </c>
      <c r="E11" s="6" t="s">
        <v>114</v>
      </c>
      <c r="F11" s="6" t="s">
        <v>114</v>
      </c>
      <c r="G11" s="6" t="s">
        <v>114</v>
      </c>
      <c r="H11" s="6"/>
      <c r="I11" s="6">
        <v>4</v>
      </c>
      <c r="J11" s="6"/>
    </row>
    <row r="12" spans="1:10" ht="28.8" x14ac:dyDescent="0.3">
      <c r="A12" s="6">
        <v>11</v>
      </c>
      <c r="B12" s="7" t="s">
        <v>128</v>
      </c>
      <c r="C12" s="7" t="s">
        <v>129</v>
      </c>
      <c r="D12" s="6" t="s">
        <v>114</v>
      </c>
      <c r="E12" s="6" t="s">
        <v>114</v>
      </c>
      <c r="F12" s="6" t="s">
        <v>114</v>
      </c>
      <c r="G12" s="6"/>
      <c r="H12" s="6"/>
      <c r="I12" s="6">
        <v>3</v>
      </c>
      <c r="J12" s="6"/>
    </row>
    <row r="13" spans="1:10" ht="28.8" x14ac:dyDescent="0.3">
      <c r="A13" s="6">
        <v>12</v>
      </c>
      <c r="B13" s="7" t="s">
        <v>130</v>
      </c>
      <c r="C13" s="7" t="s">
        <v>131</v>
      </c>
      <c r="D13" s="6" t="s">
        <v>114</v>
      </c>
      <c r="E13" s="6" t="s">
        <v>114</v>
      </c>
      <c r="F13" s="6" t="s">
        <v>114</v>
      </c>
      <c r="G13" s="6"/>
      <c r="H13" s="6"/>
      <c r="I13" s="6">
        <v>3</v>
      </c>
      <c r="J13" s="6"/>
    </row>
    <row r="14" spans="1:10" ht="28.8" x14ac:dyDescent="0.3">
      <c r="A14" s="6">
        <v>13</v>
      </c>
      <c r="B14" s="7" t="s">
        <v>132</v>
      </c>
      <c r="C14" s="7" t="s">
        <v>133</v>
      </c>
      <c r="D14" s="6" t="s">
        <v>114</v>
      </c>
      <c r="E14" s="6" t="s">
        <v>114</v>
      </c>
      <c r="F14" s="6" t="s">
        <v>114</v>
      </c>
      <c r="G14" s="6"/>
      <c r="H14" s="6" t="s">
        <v>114</v>
      </c>
      <c r="I14" s="6">
        <v>4</v>
      </c>
      <c r="J14" s="6"/>
    </row>
    <row r="15" spans="1:10" ht="28.8" x14ac:dyDescent="0.3">
      <c r="A15" s="6">
        <v>14</v>
      </c>
      <c r="B15" s="7" t="s">
        <v>134</v>
      </c>
      <c r="C15" s="7" t="s">
        <v>135</v>
      </c>
      <c r="D15" s="6" t="s">
        <v>114</v>
      </c>
      <c r="E15" s="6"/>
      <c r="F15" s="6" t="s">
        <v>114</v>
      </c>
      <c r="G15" s="6" t="s">
        <v>114</v>
      </c>
      <c r="H15" s="6"/>
      <c r="I15" s="6">
        <v>3</v>
      </c>
      <c r="J15" s="6"/>
    </row>
    <row r="16" spans="1:10" ht="28.8" x14ac:dyDescent="0.3">
      <c r="A16" s="6">
        <v>15</v>
      </c>
      <c r="B16" s="7" t="s">
        <v>80</v>
      </c>
      <c r="C16" s="7" t="s">
        <v>136</v>
      </c>
      <c r="D16" s="6"/>
      <c r="E16" s="6"/>
      <c r="F16" s="6"/>
      <c r="G16" s="6" t="s">
        <v>114</v>
      </c>
      <c r="H16" s="6"/>
      <c r="I16" s="6">
        <v>1</v>
      </c>
      <c r="J16" s="6"/>
    </row>
    <row r="17" spans="1:10" ht="28.8" x14ac:dyDescent="0.3">
      <c r="A17" s="6">
        <v>16</v>
      </c>
      <c r="B17" s="7" t="s">
        <v>137</v>
      </c>
      <c r="C17" s="7" t="s">
        <v>138</v>
      </c>
      <c r="D17" s="6"/>
      <c r="E17" s="6" t="s">
        <v>114</v>
      </c>
      <c r="F17" s="6"/>
      <c r="G17" s="6" t="s">
        <v>114</v>
      </c>
      <c r="H17" s="6" t="s">
        <v>114</v>
      </c>
      <c r="I17" s="6">
        <v>3</v>
      </c>
      <c r="J17" s="6"/>
    </row>
    <row r="18" spans="1:10" ht="28.8" x14ac:dyDescent="0.3">
      <c r="A18" s="6">
        <v>17</v>
      </c>
      <c r="B18" s="7" t="s">
        <v>28</v>
      </c>
      <c r="C18" s="7" t="s">
        <v>139</v>
      </c>
      <c r="D18" s="6"/>
      <c r="E18" s="6" t="s">
        <v>114</v>
      </c>
      <c r="F18" s="6" t="s">
        <v>114</v>
      </c>
      <c r="G18" s="6"/>
      <c r="H18" s="6"/>
      <c r="I18" s="6">
        <v>2</v>
      </c>
      <c r="J18" s="6">
        <v>1</v>
      </c>
    </row>
    <row r="19" spans="1:10" ht="28.8" x14ac:dyDescent="0.3">
      <c r="A19" s="6">
        <v>18</v>
      </c>
      <c r="B19" s="7" t="s">
        <v>140</v>
      </c>
      <c r="C19" s="7" t="s">
        <v>141</v>
      </c>
      <c r="D19" s="6"/>
      <c r="E19" s="6"/>
      <c r="F19" s="6" t="s">
        <v>114</v>
      </c>
      <c r="G19" s="6" t="s">
        <v>114</v>
      </c>
      <c r="H19" s="6" t="s">
        <v>114</v>
      </c>
      <c r="I19" s="6">
        <v>3</v>
      </c>
      <c r="J19" s="6">
        <v>1</v>
      </c>
    </row>
    <row r="20" spans="1:10" ht="28.8" x14ac:dyDescent="0.3">
      <c r="A20" s="6">
        <v>19</v>
      </c>
      <c r="B20" s="7" t="s">
        <v>142</v>
      </c>
      <c r="C20" s="7" t="s">
        <v>143</v>
      </c>
      <c r="D20" s="6"/>
      <c r="E20" s="6"/>
      <c r="F20" s="6" t="s">
        <v>114</v>
      </c>
      <c r="G20" s="6" t="s">
        <v>114</v>
      </c>
      <c r="H20" s="6"/>
      <c r="I20" s="6">
        <v>2</v>
      </c>
      <c r="J20" s="6"/>
    </row>
    <row r="21" spans="1:10" ht="28.8" x14ac:dyDescent="0.3">
      <c r="A21" s="6">
        <v>20</v>
      </c>
      <c r="B21" s="7" t="s">
        <v>16</v>
      </c>
      <c r="C21" s="7" t="s">
        <v>144</v>
      </c>
      <c r="D21" s="6"/>
      <c r="E21" s="6"/>
      <c r="F21" s="6"/>
      <c r="G21" s="6" t="s">
        <v>114</v>
      </c>
      <c r="H21" s="6"/>
      <c r="I21" s="6">
        <v>1</v>
      </c>
      <c r="J21" s="6"/>
    </row>
    <row r="22" spans="1:10" ht="28.8" x14ac:dyDescent="0.3">
      <c r="A22" s="6">
        <v>21</v>
      </c>
      <c r="B22" s="7" t="s">
        <v>64</v>
      </c>
      <c r="C22" s="7" t="s">
        <v>145</v>
      </c>
      <c r="D22" s="6"/>
      <c r="E22" s="6" t="s">
        <v>114</v>
      </c>
      <c r="F22" s="6"/>
      <c r="G22" s="6" t="s">
        <v>114</v>
      </c>
      <c r="H22" s="6"/>
      <c r="I22" s="6">
        <v>2</v>
      </c>
      <c r="J22" s="6"/>
    </row>
    <row r="23" spans="1:10" ht="28.8" x14ac:dyDescent="0.3">
      <c r="A23" s="6">
        <v>22</v>
      </c>
      <c r="B23" s="7" t="s">
        <v>6</v>
      </c>
      <c r="C23" s="7" t="s">
        <v>146</v>
      </c>
      <c r="D23" s="6" t="s">
        <v>114</v>
      </c>
      <c r="E23" s="6" t="s">
        <v>114</v>
      </c>
      <c r="F23" s="6" t="s">
        <v>114</v>
      </c>
      <c r="G23" s="6" t="s">
        <v>114</v>
      </c>
      <c r="H23" s="6"/>
      <c r="I23" s="6">
        <v>4</v>
      </c>
      <c r="J23" s="6"/>
    </row>
    <row r="24" spans="1:10" ht="28.8" x14ac:dyDescent="0.3">
      <c r="A24" s="6">
        <v>23</v>
      </c>
      <c r="B24" s="7" t="s">
        <v>94</v>
      </c>
      <c r="C24" s="7" t="s">
        <v>147</v>
      </c>
      <c r="D24" s="6"/>
      <c r="E24" s="6"/>
      <c r="F24" s="6" t="s">
        <v>114</v>
      </c>
      <c r="G24" s="6"/>
      <c r="H24" s="6"/>
      <c r="I24" s="6">
        <v>1</v>
      </c>
      <c r="J24" s="6"/>
    </row>
    <row r="25" spans="1:10" ht="28.8" x14ac:dyDescent="0.3">
      <c r="A25" s="6">
        <v>24</v>
      </c>
      <c r="B25" s="7" t="s">
        <v>89</v>
      </c>
      <c r="C25" s="7" t="s">
        <v>148</v>
      </c>
      <c r="D25" s="6" t="s">
        <v>114</v>
      </c>
      <c r="E25" s="6" t="s">
        <v>114</v>
      </c>
      <c r="F25" s="6" t="s">
        <v>114</v>
      </c>
      <c r="G25" s="6" t="s">
        <v>114</v>
      </c>
      <c r="H25" s="6"/>
      <c r="I25" s="6">
        <v>4</v>
      </c>
      <c r="J25" s="6">
        <v>1</v>
      </c>
    </row>
    <row r="26" spans="1:10" ht="28.8" x14ac:dyDescent="0.3">
      <c r="A26" s="6">
        <v>25</v>
      </c>
      <c r="B26" s="7" t="s">
        <v>23</v>
      </c>
      <c r="C26" s="7" t="s">
        <v>149</v>
      </c>
      <c r="D26" s="6"/>
      <c r="E26" s="6"/>
      <c r="F26" s="6"/>
      <c r="G26" s="6" t="s">
        <v>114</v>
      </c>
      <c r="H26" s="6"/>
      <c r="I26" s="6">
        <v>1</v>
      </c>
      <c r="J26" s="6"/>
    </row>
    <row r="27" spans="1:10" ht="28.8" x14ac:dyDescent="0.3">
      <c r="A27" s="6">
        <v>26</v>
      </c>
      <c r="B27" s="7" t="s">
        <v>19</v>
      </c>
      <c r="C27" s="7" t="s">
        <v>150</v>
      </c>
      <c r="D27" s="6"/>
      <c r="E27" s="6"/>
      <c r="F27" s="6"/>
      <c r="G27" s="6" t="s">
        <v>114</v>
      </c>
      <c r="H27" s="6"/>
      <c r="I27" s="6">
        <v>1</v>
      </c>
      <c r="J27" s="6"/>
    </row>
    <row r="28" spans="1:10" ht="28.8" x14ac:dyDescent="0.3">
      <c r="A28" s="6">
        <v>27</v>
      </c>
      <c r="B28" s="7" t="s">
        <v>34</v>
      </c>
      <c r="C28" s="7" t="s">
        <v>151</v>
      </c>
      <c r="D28" s="6"/>
      <c r="E28" s="6"/>
      <c r="F28" s="6"/>
      <c r="G28" s="6" t="s">
        <v>114</v>
      </c>
      <c r="H28" s="6"/>
      <c r="I28" s="6">
        <v>1</v>
      </c>
      <c r="J28" s="6"/>
    </row>
    <row r="29" spans="1:10" ht="28.8" x14ac:dyDescent="0.3">
      <c r="A29" s="6">
        <v>28</v>
      </c>
      <c r="B29" s="7" t="s">
        <v>72</v>
      </c>
      <c r="C29" s="7" t="s">
        <v>152</v>
      </c>
      <c r="D29" s="6"/>
      <c r="E29" s="6"/>
      <c r="F29" s="6"/>
      <c r="G29" s="6" t="s">
        <v>114</v>
      </c>
      <c r="H29" s="6"/>
      <c r="I29" s="6">
        <v>1</v>
      </c>
      <c r="J29" s="6"/>
    </row>
    <row r="30" spans="1:10" ht="28.8" x14ac:dyDescent="0.3">
      <c r="A30" s="6">
        <v>29</v>
      </c>
      <c r="B30" s="7" t="s">
        <v>78</v>
      </c>
      <c r="C30" s="7" t="s">
        <v>153</v>
      </c>
      <c r="D30" s="6"/>
      <c r="E30" s="6"/>
      <c r="F30" s="6" t="s">
        <v>114</v>
      </c>
      <c r="G30" s="6" t="s">
        <v>114</v>
      </c>
      <c r="H30" s="6"/>
      <c r="I30" s="6">
        <v>2</v>
      </c>
      <c r="J30" s="6"/>
    </row>
    <row r="31" spans="1:10" ht="28.8" x14ac:dyDescent="0.3">
      <c r="A31" s="6">
        <v>30</v>
      </c>
      <c r="B31" s="7" t="s">
        <v>26</v>
      </c>
      <c r="C31" s="7" t="s">
        <v>154</v>
      </c>
      <c r="D31" s="6"/>
      <c r="E31" s="6"/>
      <c r="F31" s="6"/>
      <c r="G31" s="6" t="s">
        <v>114</v>
      </c>
      <c r="H31" s="6"/>
      <c r="I31" s="6">
        <v>1</v>
      </c>
      <c r="J31" s="6"/>
    </row>
    <row r="32" spans="1:10" ht="28.8" x14ac:dyDescent="0.3">
      <c r="A32" s="6">
        <v>31</v>
      </c>
      <c r="B32" s="7" t="s">
        <v>41</v>
      </c>
      <c r="C32" s="7" t="s">
        <v>155</v>
      </c>
      <c r="D32" s="6"/>
      <c r="E32" s="6"/>
      <c r="F32" s="6" t="s">
        <v>114</v>
      </c>
      <c r="G32" s="6"/>
      <c r="H32" s="6"/>
      <c r="I32" s="6">
        <v>1</v>
      </c>
      <c r="J32" s="6"/>
    </row>
    <row r="33" spans="1:10" ht="28.8" x14ac:dyDescent="0.3">
      <c r="A33" s="6">
        <v>32</v>
      </c>
      <c r="B33" s="7" t="s">
        <v>53</v>
      </c>
      <c r="C33" s="7" t="s">
        <v>156</v>
      </c>
      <c r="D33" s="6"/>
      <c r="E33" s="6"/>
      <c r="F33" s="6" t="s">
        <v>114</v>
      </c>
      <c r="G33" s="6"/>
      <c r="H33" s="6"/>
      <c r="I33" s="6">
        <v>1</v>
      </c>
      <c r="J33" s="6"/>
    </row>
    <row r="34" spans="1:10" ht="28.8" x14ac:dyDescent="0.3">
      <c r="A34" s="6">
        <v>33</v>
      </c>
      <c r="B34" s="7" t="s">
        <v>13</v>
      </c>
      <c r="C34" s="7" t="s">
        <v>157</v>
      </c>
      <c r="D34" s="6"/>
      <c r="E34" s="6"/>
      <c r="F34" s="6" t="s">
        <v>114</v>
      </c>
      <c r="G34" s="6"/>
      <c r="H34" s="6"/>
      <c r="I34" s="6">
        <v>1</v>
      </c>
      <c r="J34" s="6"/>
    </row>
    <row r="35" spans="1:10" ht="28.8" x14ac:dyDescent="0.3">
      <c r="A35" s="6">
        <v>34</v>
      </c>
      <c r="B35" s="7" t="s">
        <v>44</v>
      </c>
      <c r="C35" s="7" t="s">
        <v>158</v>
      </c>
      <c r="D35" s="6"/>
      <c r="E35" s="6"/>
      <c r="F35" s="6" t="s">
        <v>114</v>
      </c>
      <c r="G35" s="6"/>
      <c r="H35" s="6"/>
      <c r="I35" s="6">
        <v>1</v>
      </c>
      <c r="J35" s="6"/>
    </row>
    <row r="36" spans="1:10" ht="28.8" x14ac:dyDescent="0.3">
      <c r="A36" s="6">
        <v>35</v>
      </c>
      <c r="B36" s="7" t="s">
        <v>10</v>
      </c>
      <c r="C36" s="7" t="s">
        <v>159</v>
      </c>
      <c r="D36" s="6"/>
      <c r="E36" s="6" t="s">
        <v>114</v>
      </c>
      <c r="F36" s="6"/>
      <c r="G36" s="6"/>
      <c r="H36" s="6"/>
      <c r="I36" s="6">
        <v>1</v>
      </c>
      <c r="J36" s="6"/>
    </row>
    <row r="37" spans="1:10" ht="28.8" x14ac:dyDescent="0.3">
      <c r="A37" s="6">
        <v>36</v>
      </c>
      <c r="B37" s="7" t="s">
        <v>160</v>
      </c>
      <c r="C37" s="7" t="s">
        <v>161</v>
      </c>
      <c r="D37" s="6"/>
      <c r="E37" s="6"/>
      <c r="F37" s="6" t="s">
        <v>114</v>
      </c>
      <c r="G37" s="6"/>
      <c r="H37" s="6"/>
      <c r="I37" s="6">
        <v>1</v>
      </c>
      <c r="J37" s="6"/>
    </row>
    <row r="38" spans="1:10" ht="28.8" x14ac:dyDescent="0.3">
      <c r="A38" s="6">
        <v>37</v>
      </c>
      <c r="B38" s="7" t="s">
        <v>59</v>
      </c>
      <c r="C38" s="7" t="s">
        <v>162</v>
      </c>
      <c r="D38" s="6"/>
      <c r="E38" s="6"/>
      <c r="F38" s="6"/>
      <c r="G38" s="6" t="s">
        <v>114</v>
      </c>
      <c r="H38" s="6"/>
      <c r="I38" s="6">
        <v>1</v>
      </c>
      <c r="J38" s="6"/>
    </row>
    <row r="39" spans="1:10" ht="28.8" x14ac:dyDescent="0.3">
      <c r="A39" s="6">
        <v>38</v>
      </c>
      <c r="B39" s="7" t="s">
        <v>37</v>
      </c>
      <c r="C39" s="7" t="s">
        <v>163</v>
      </c>
      <c r="D39" s="6"/>
      <c r="E39" s="6"/>
      <c r="F39" s="6"/>
      <c r="G39" s="6" t="s">
        <v>114</v>
      </c>
      <c r="H39" s="6"/>
      <c r="I39" s="6">
        <v>1</v>
      </c>
      <c r="J39" s="6"/>
    </row>
    <row r="40" spans="1:10" ht="43.2" x14ac:dyDescent="0.3">
      <c r="A40" s="6">
        <v>39</v>
      </c>
      <c r="B40" s="7" t="s">
        <v>55</v>
      </c>
      <c r="C40" s="7" t="s">
        <v>164</v>
      </c>
      <c r="D40" s="6"/>
      <c r="E40" s="6" t="s">
        <v>114</v>
      </c>
      <c r="F40" s="6" t="s">
        <v>114</v>
      </c>
      <c r="G40" s="6"/>
      <c r="H40" s="6"/>
      <c r="I40" s="6">
        <v>2</v>
      </c>
      <c r="J40" s="6"/>
    </row>
    <row r="41" spans="1:10" ht="28.8" x14ac:dyDescent="0.3">
      <c r="A41" s="6">
        <v>45</v>
      </c>
      <c r="B41" s="7" t="s">
        <v>39</v>
      </c>
      <c r="C41" s="7" t="s">
        <v>165</v>
      </c>
      <c r="D41" s="6"/>
      <c r="E41" s="6" t="s">
        <v>114</v>
      </c>
      <c r="F41" s="6"/>
      <c r="G41" s="6"/>
      <c r="H41" s="6"/>
      <c r="I41" s="6">
        <v>1</v>
      </c>
      <c r="J41" s="6"/>
    </row>
    <row r="42" spans="1:10" ht="28.8" x14ac:dyDescent="0.3">
      <c r="A42" s="6">
        <v>46</v>
      </c>
      <c r="B42" s="7" t="s">
        <v>70</v>
      </c>
      <c r="C42" s="7" t="s">
        <v>166</v>
      </c>
      <c r="D42" s="6"/>
      <c r="E42" s="6" t="s">
        <v>114</v>
      </c>
      <c r="F42" s="6"/>
      <c r="G42" s="6"/>
      <c r="H42" s="6"/>
      <c r="I42" s="6">
        <v>1</v>
      </c>
      <c r="J42" s="6"/>
    </row>
    <row r="43" spans="1:10" ht="28.8" x14ac:dyDescent="0.3">
      <c r="A43" s="6">
        <v>47</v>
      </c>
      <c r="B43" s="7" t="s">
        <v>32</v>
      </c>
      <c r="C43" s="7" t="s">
        <v>167</v>
      </c>
      <c r="D43" s="6" t="s">
        <v>114</v>
      </c>
      <c r="E43" s="6"/>
      <c r="F43" s="6"/>
      <c r="G43" s="6"/>
      <c r="H43" s="6"/>
      <c r="I43" s="6">
        <v>1</v>
      </c>
      <c r="J43" s="6"/>
    </row>
    <row r="44" spans="1:10" ht="28.8" x14ac:dyDescent="0.3">
      <c r="A44" s="6">
        <v>48</v>
      </c>
      <c r="B44" s="7" t="s">
        <v>75</v>
      </c>
      <c r="C44" s="7" t="s">
        <v>168</v>
      </c>
      <c r="D44" s="6"/>
      <c r="E44" s="6" t="s">
        <v>114</v>
      </c>
      <c r="F44" s="6"/>
      <c r="G44" s="6"/>
      <c r="H44" s="6"/>
      <c r="I44" s="6">
        <v>1</v>
      </c>
      <c r="J44" s="6"/>
    </row>
    <row r="45" spans="1:10" ht="28.8" x14ac:dyDescent="0.3">
      <c r="A45" s="6">
        <v>49</v>
      </c>
      <c r="B45" s="7" t="s">
        <v>92</v>
      </c>
      <c r="C45" s="7" t="s">
        <v>169</v>
      </c>
      <c r="D45" s="6"/>
      <c r="E45" s="6" t="s">
        <v>114</v>
      </c>
      <c r="F45" s="6"/>
      <c r="G45" s="6"/>
      <c r="H45" s="6"/>
      <c r="I45" s="6">
        <v>1</v>
      </c>
      <c r="J45" s="6"/>
    </row>
  </sheetData>
  <autoFilter ref="A1:J45" xr:uid="{C6EF4E99-1C7D-4B26-A929-984CB0C54224}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EA5D9CC-18C0-4078-908E-01E72F4967C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Notas080526_OrganizacionSubgere</vt:lpstr>
      <vt:lpstr>Por Frecuencia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Andrés Pulgarín Bautista</dc:creator>
  <cp:lastModifiedBy>Camilo Andrés Pulgarín Bautista</cp:lastModifiedBy>
  <dcterms:created xsi:type="dcterms:W3CDTF">2026-05-08T16:49:53Z</dcterms:created>
  <dcterms:modified xsi:type="dcterms:W3CDTF">2026-05-08T20:41:15Z</dcterms:modified>
</cp:coreProperties>
</file>